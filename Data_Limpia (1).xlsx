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xr:revisionPtr revIDLastSave="0" documentId="8_{008C1ED2-3983-4538-B2FA-3C27057EC90D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ashboard de Morosida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</calcChain>
</file>

<file path=xl/sharedStrings.xml><?xml version="1.0" encoding="utf-8"?>
<sst xmlns="http://schemas.openxmlformats.org/spreadsheetml/2006/main" count="26" uniqueCount="26">
  <si>
    <t>Consorcio Argerich 3391 - Torre 15</t>
  </si>
  <si>
    <t>Informe Consolidado y Auditoría de Cuentas</t>
  </si>
  <si>
    <t>MÉTRICA GLOBAL CONTROL</t>
  </si>
  <si>
    <t>VALOR CONSOLIDADOS</t>
  </si>
  <si>
    <t>Total Departamentos Analizados (U.F.)</t>
  </si>
  <si>
    <t>Cantidad de Propietarios Morosos Activos</t>
  </si>
  <si>
    <t>Tasa Interna de Morosidad</t>
  </si>
  <si>
    <t>35.23%</t>
  </si>
  <si>
    <t>Masa Crítica de Deuda Histórica Acumulada</t>
  </si>
  <si>
    <t>$18.190.444,00</t>
  </si>
  <si>
    <t>Total de Fondos Recaudados (Pagos)</t>
  </si>
  <si>
    <t>Recaudación de Intereses</t>
  </si>
  <si>
    <t>Caja proyectada / Total Facturado a Pagar</t>
  </si>
  <si>
    <t>Suma Total  del Top 3 de deudores =  $12.502.107,00</t>
  </si>
  <si>
    <t>Suma Total del Top 5 de deudores = $13.210.735,00</t>
  </si>
  <si>
    <t>Suma Total del Top 5 de deudores = $15.349.729,00</t>
  </si>
  <si>
    <t>Conclusiones</t>
  </si>
  <si>
    <t>El Factor Solidaridad Forzada (El 66%), están financiando de su bolsillo la falta de pago del otro 33%. Es una transferencia de carga insostenible a largo plazo.</t>
  </si>
  <si>
    <t>La Velocidad de Degradación:  cada mes se suma al menos un moroso nuevo</t>
  </si>
  <si>
    <t>Si  los deudores más chicos regularizan, el complejo recupera el oxígeno operativo diario (gastos corrientes)</t>
  </si>
  <si>
    <t>Plan de Acción Propuesto</t>
  </si>
  <si>
    <t>Conciliación y Planes de Pago para los morosos no cronicos</t>
  </si>
  <si>
    <t>Intimación y Acciones Legales para morosos cronicos</t>
  </si>
  <si>
    <t>Auditoría de Transparencia para la nueva administracion</t>
  </si>
  <si>
    <t>Analisis de los balances presentados por la administracion vs Analisis generado con python</t>
  </si>
  <si>
    <t>DISCRIMINACION DE TASAS A VECINOS MOROSOS (DESIGUALES)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</si>
</sst>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14">
    <font>
      <sz val="11"/>
      <color theme="1"/>
      <name val="Calibri"/>
      <family val="2"/>
      <scheme val="minor"/>
    </font>
    <font>
      <b/>
      <sz val="16"/>
      <color rgb="FF1B365D"/>
      <name val="Arial"/>
    </font>
    <font>
      <i/>
      <sz val="11"/>
      <color rgb="FF555555"/>
      <name val="Arial"/>
    </font>
    <font>
      <b/>
      <sz val="12"/>
      <color rgb="FFFFFFFF"/>
      <name val="Arial"/>
    </font>
    <font>
      <b/>
      <sz val="12"/>
      <name val="Arial"/>
    </font>
    <font>
      <sz val="12"/>
      <name val="Arial"/>
    </font>
    <font>
      <b/>
      <sz val="14"/>
      <color theme="1"/>
      <name val="Calibri"/>
      <family val="2"/>
      <scheme val="minor"/>
    </font>
    <font>
      <b/>
      <sz val="14"/>
      <color rgb="FF242424"/>
      <name val="Aptos Narrow"/>
      <charset val="1"/>
    </font>
    <font>
      <b/>
      <sz val="1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rgb="FFFF0000"/>
      <name val="Arial"/>
    </font>
    <font>
      <sz val="12"/>
      <color theme="1"/>
      <name val="Calibri"/>
      <family val="2"/>
      <scheme val="minor"/>
    </font>
    <font>
      <sz val="10"/>
      <color rgb="FF8959A8"/>
      <name val="Courier New"/>
      <charset val="1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4F7FA"/>
        <bgColor rgb="FFF4F7FA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2" borderId="0" xfId="0" applyFont="1" applyFill="1" applyAlignment="1">
      <alignment horizontal="center"/>
    </xf>
    <xf numFmtId="0" fontId="4" fillId="3" borderId="0" xfId="0" applyFont="1" applyFill="1"/>
    <xf numFmtId="3" fontId="5" fillId="3" borderId="1" xfId="0" applyNumberFormat="1" applyFont="1" applyFill="1" applyBorder="1" applyAlignment="1">
      <alignment horizontal="right"/>
    </xf>
    <xf numFmtId="0" fontId="4" fillId="0" borderId="0" xfId="0" applyFont="1"/>
    <xf numFmtId="3" fontId="5" fillId="0" borderId="1" xfId="0" applyNumberFormat="1" applyFont="1" applyBorder="1" applyAlignment="1">
      <alignment horizontal="right"/>
    </xf>
    <xf numFmtId="10" fontId="5" fillId="3" borderId="1" xfId="0" applyNumberFormat="1" applyFont="1" applyFill="1" applyBorder="1" applyAlignment="1">
      <alignment horizontal="right"/>
    </xf>
    <xf numFmtId="164" fontId="5" fillId="0" borderId="1" xfId="0" applyNumberFormat="1" applyFont="1" applyBorder="1" applyAlignment="1">
      <alignment horizontal="right"/>
    </xf>
    <xf numFmtId="164" fontId="5" fillId="3" borderId="1" xfId="0" applyNumberFormat="1" applyFont="1" applyFill="1" applyBorder="1" applyAlignment="1">
      <alignment horizontal="right"/>
    </xf>
    <xf numFmtId="0" fontId="9" fillId="0" borderId="0" xfId="0" applyFont="1" applyAlignment="1"/>
    <xf numFmtId="164" fontId="10" fillId="0" borderId="1" xfId="0" applyNumberFormat="1" applyFont="1" applyBorder="1" applyAlignment="1">
      <alignment horizontal="right"/>
    </xf>
    <xf numFmtId="0" fontId="11" fillId="0" borderId="0" xfId="0" applyFont="1"/>
    <xf numFmtId="0" fontId="0" fillId="0" borderId="0" xfId="0" applyFont="1"/>
    <xf numFmtId="0" fontId="12" fillId="0" borderId="0" xfId="0" applyFont="1"/>
    <xf numFmtId="0" fontId="11" fillId="0" borderId="0" xfId="0" applyFont="1" applyAlignment="1">
      <alignment horizontal="left"/>
    </xf>
    <xf numFmtId="1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11" fillId="0" borderId="0" xfId="0" applyFont="1" applyAlignment="1">
      <alignment horizontal="left" wrapText="1"/>
    </xf>
    <xf numFmtId="0" fontId="9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257175</xdr:colOff>
      <xdr:row>13</xdr:row>
      <xdr:rowOff>123825</xdr:rowOff>
    </xdr:from>
    <xdr:to>
      <xdr:col>6</xdr:col>
      <xdr:colOff>304800</xdr:colOff>
      <xdr:row>49</xdr:row>
      <xdr:rowOff>57150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DC2D651-07A5-78BF-EDD7-E38A2128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2676525"/>
          <a:ext cx="9591675" cy="6791325"/>
        </a:xfrm>
        <a:prstGeom prst="rect">
          <a:avLst/>
        </a:prstGeom>
      </xdr:spPr>
    </xdr:pic>
    <xdr:clientData/>
  </xdr:twoCellAnchor>
  <xdr:twoCellAnchor editAs="oneCell">
    <xdr:from>
      <xdr:col>1</xdr:col>
      <xdr:colOff>1885950</xdr:colOff>
      <xdr:row>55</xdr:row>
      <xdr:rowOff>152400</xdr:rowOff>
    </xdr:from>
    <xdr:to>
      <xdr:col>6</xdr:col>
      <xdr:colOff>457200</xdr:colOff>
      <xdr:row>77</xdr:row>
      <xdr:rowOff>66675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DD41DBB3-4E95-C450-BAD4-A49637C04C89}"/>
            </a:ext>
            <a:ext uri="{147F2762-F138-4A5C-976F-8EAC2B608ADB}">
              <a16:predDERef xmlns:a16="http://schemas.microsoft.com/office/drawing/2014/main" pred="{0DC2D651-07A5-78BF-EDD7-E38A2128B3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3975" y="13754100"/>
          <a:ext cx="4867275" cy="4105275"/>
        </a:xfrm>
        <a:prstGeom prst="rect">
          <a:avLst/>
        </a:prstGeom>
      </xdr:spPr>
    </xdr:pic>
    <xdr:clientData/>
  </xdr:twoCellAnchor>
  <xdr:twoCellAnchor editAs="oneCell">
    <xdr:from>
      <xdr:col>0</xdr:col>
      <xdr:colOff>209550</xdr:colOff>
      <xdr:row>55</xdr:row>
      <xdr:rowOff>142875</xdr:rowOff>
    </xdr:from>
    <xdr:to>
      <xdr:col>1</xdr:col>
      <xdr:colOff>1895475</xdr:colOff>
      <xdr:row>77</xdr:row>
      <xdr:rowOff>9525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34E29529-E885-4899-8114-7D09D9308485}"/>
            </a:ext>
            <a:ext uri="{147F2762-F138-4A5C-976F-8EAC2B608ADB}">
              <a16:predDERef xmlns:a16="http://schemas.microsoft.com/office/drawing/2014/main" pred="{DD41DBB3-4E95-C450-BAD4-A49637C04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09550" y="13744575"/>
          <a:ext cx="4933950" cy="4057650"/>
        </a:xfrm>
        <a:prstGeom prst="rect">
          <a:avLst/>
        </a:prstGeom>
      </xdr:spPr>
    </xdr:pic>
    <xdr:clientData/>
  </xdr:twoCellAnchor>
  <xdr:twoCellAnchor editAs="oneCell">
    <xdr:from>
      <xdr:col>6</xdr:col>
      <xdr:colOff>352425</xdr:colOff>
      <xdr:row>56</xdr:row>
      <xdr:rowOff>9525</xdr:rowOff>
    </xdr:from>
    <xdr:to>
      <xdr:col>14</xdr:col>
      <xdr:colOff>295275</xdr:colOff>
      <xdr:row>77</xdr:row>
      <xdr:rowOff>104775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BCFA708-1B15-C7C8-B3CB-BCA4935FB499}"/>
            </a:ext>
            <a:ext uri="{147F2762-F138-4A5C-976F-8EAC2B608ADB}">
              <a16:predDERef xmlns:a16="http://schemas.microsoft.com/office/drawing/2014/main" pred="{34E29529-E885-4899-8114-7D09D93084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896475" y="10944225"/>
          <a:ext cx="4819650" cy="4095750"/>
        </a:xfrm>
        <a:prstGeom prst="rect">
          <a:avLst/>
        </a:prstGeom>
      </xdr:spPr>
    </xdr:pic>
    <xdr:clientData/>
  </xdr:twoCellAnchor>
  <xdr:twoCellAnchor editAs="oneCell">
    <xdr:from>
      <xdr:col>0</xdr:col>
      <xdr:colOff>1152525</xdr:colOff>
      <xdr:row>101</xdr:row>
      <xdr:rowOff>133350</xdr:rowOff>
    </xdr:from>
    <xdr:to>
      <xdr:col>5</xdr:col>
      <xdr:colOff>1876425</xdr:colOff>
      <xdr:row>115</xdr:row>
      <xdr:rowOff>123825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6A3F37-625C-A7E3-42F2-A28F5696B082}"/>
            </a:ext>
            <a:ext uri="{147F2762-F138-4A5C-976F-8EAC2B608ADB}">
              <a16:predDERef xmlns:a16="http://schemas.microsoft.com/office/drawing/2014/main" pred="{7BCFA708-1B15-C7C8-B3CB-BCA4935FB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52525" y="20050125"/>
          <a:ext cx="8020050" cy="26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1343025</xdr:colOff>
      <xdr:row>119</xdr:row>
      <xdr:rowOff>152400</xdr:rowOff>
    </xdr:from>
    <xdr:to>
      <xdr:col>5</xdr:col>
      <xdr:colOff>1762125</xdr:colOff>
      <xdr:row>132</xdr:row>
      <xdr:rowOff>142875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F236AE7-5E30-5D01-4690-44E4DFC837A1}"/>
            </a:ext>
            <a:ext uri="{147F2762-F138-4A5C-976F-8EAC2B608ADB}">
              <a16:predDERef xmlns:a16="http://schemas.microsoft.com/office/drawing/2014/main" pred="{D76A3F37-625C-A7E3-42F2-A28F5696B0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3025" y="23498175"/>
          <a:ext cx="7715250" cy="2466975"/>
        </a:xfrm>
        <a:prstGeom prst="rect">
          <a:avLst/>
        </a:prstGeom>
      </xdr:spPr>
    </xdr:pic>
    <xdr:clientData/>
  </xdr:twoCellAnchor>
  <xdr:twoCellAnchor editAs="oneCell">
    <xdr:from>
      <xdr:col>0</xdr:col>
      <xdr:colOff>1390650</xdr:colOff>
      <xdr:row>135</xdr:row>
      <xdr:rowOff>0</xdr:rowOff>
    </xdr:from>
    <xdr:to>
      <xdr:col>5</xdr:col>
      <xdr:colOff>1781175</xdr:colOff>
      <xdr:row>147</xdr:row>
      <xdr:rowOff>142875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4DC750F9-61FD-40E7-2B7A-C2FE23741963}"/>
            </a:ext>
            <a:ext uri="{147F2762-F138-4A5C-976F-8EAC2B608ADB}">
              <a16:predDERef xmlns:a16="http://schemas.microsoft.com/office/drawing/2014/main" pred="{0F236AE7-5E30-5D01-4690-44E4DFC837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390650" y="26393775"/>
          <a:ext cx="7686675" cy="2428875"/>
        </a:xfrm>
        <a:prstGeom prst="rect">
          <a:avLst/>
        </a:prstGeom>
      </xdr:spPr>
    </xdr:pic>
    <xdr:clientData/>
  </xdr:twoCellAnchor>
  <xdr:twoCellAnchor editAs="oneCell">
    <xdr:from>
      <xdr:col>0</xdr:col>
      <xdr:colOff>1276350</xdr:colOff>
      <xdr:row>150</xdr:row>
      <xdr:rowOff>104775</xdr:rowOff>
    </xdr:from>
    <xdr:to>
      <xdr:col>5</xdr:col>
      <xdr:colOff>1981200</xdr:colOff>
      <xdr:row>162</xdr:row>
      <xdr:rowOff>152400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2768C10-E768-DC4F-7315-6DB5FF84930C}"/>
            </a:ext>
            <a:ext uri="{147F2762-F138-4A5C-976F-8EAC2B608ADB}">
              <a16:predDERef xmlns:a16="http://schemas.microsoft.com/office/drawing/2014/main" pred="{4DC750F9-61FD-40E7-2B7A-C2FE23741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76350" y="29356050"/>
          <a:ext cx="8001000" cy="233362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1428750</xdr:colOff>
      <xdr:row>166</xdr:row>
      <xdr:rowOff>0</xdr:rowOff>
    </xdr:from>
    <xdr:to>
      <xdr:col>5</xdr:col>
      <xdr:colOff>1990725</xdr:colOff>
      <xdr:row>178</xdr:row>
      <xdr:rowOff>123825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1EB108D5-13ED-1513-878C-52CC1B7EFDFD}"/>
            </a:ext>
            <a:ext uri="{147F2762-F138-4A5C-976F-8EAC2B608ADB}">
              <a16:predDERef xmlns:a16="http://schemas.microsoft.com/office/drawing/2014/main" pred="{E2768C10-E768-DC4F-7315-6DB5FF8493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28750" y="32299275"/>
          <a:ext cx="7858125" cy="2409825"/>
        </a:xfrm>
        <a:prstGeom prst="rect">
          <a:avLst/>
        </a:prstGeom>
      </xdr:spPr>
    </xdr:pic>
    <xdr:clientData/>
  </xdr:twoCellAnchor>
  <xdr:twoCellAnchor editAs="oneCell">
    <xdr:from>
      <xdr:col>0</xdr:col>
      <xdr:colOff>1647825</xdr:colOff>
      <xdr:row>181</xdr:row>
      <xdr:rowOff>171450</xdr:rowOff>
    </xdr:from>
    <xdr:to>
      <xdr:col>6</xdr:col>
      <xdr:colOff>142875</xdr:colOff>
      <xdr:row>196</xdr:row>
      <xdr:rowOff>9525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40F8CAA9-CC50-7549-E8DE-B48DB662B5FA}"/>
            </a:ext>
            <a:ext uri="{147F2762-F138-4A5C-976F-8EAC2B608ADB}">
              <a16:predDERef xmlns:a16="http://schemas.microsoft.com/office/drawing/2014/main" pred="{1EB108D5-13ED-1513-878C-52CC1B7EF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647825" y="35328225"/>
          <a:ext cx="8039100" cy="2695575"/>
        </a:xfrm>
        <a:prstGeom prst="rect">
          <a:avLst/>
        </a:prstGeom>
      </xdr:spPr>
    </xdr:pic>
    <xdr:clientData/>
  </xdr:twoCellAnchor>
  <xdr:twoCellAnchor editAs="oneCell">
    <xdr:from>
      <xdr:col>0</xdr:col>
      <xdr:colOff>1724025</xdr:colOff>
      <xdr:row>199</xdr:row>
      <xdr:rowOff>161925</xdr:rowOff>
    </xdr:from>
    <xdr:to>
      <xdr:col>6</xdr:col>
      <xdr:colOff>352425</xdr:colOff>
      <xdr:row>211</xdr:row>
      <xdr:rowOff>95250</xdr:rowOff>
    </xdr:to>
    <xdr:pic>
      <xdr:nvPicPr>
        <xdr:cNvPr id="12" name="Imagen 11">
          <a:extLst>
            <a:ext uri="{FF2B5EF4-FFF2-40B4-BE49-F238E27FC236}">
              <a16:creationId xmlns:a16="http://schemas.microsoft.com/office/drawing/2014/main" id="{61A2AB80-C0D7-75D1-5736-BE34E66D7261}"/>
            </a:ext>
            <a:ext uri="{147F2762-F138-4A5C-976F-8EAC2B608ADB}">
              <a16:predDERef xmlns:a16="http://schemas.microsoft.com/office/drawing/2014/main" pred="{40F8CAA9-CC50-7549-E8DE-B48DB662B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724025" y="38747700"/>
          <a:ext cx="8172450" cy="2219325"/>
        </a:xfrm>
        <a:prstGeom prst="rect">
          <a:avLst/>
        </a:prstGeom>
      </xdr:spPr>
    </xdr:pic>
    <xdr:clientData/>
  </xdr:twoCellAnchor>
  <xdr:twoCellAnchor editAs="oneCell">
    <xdr:from>
      <xdr:col>0</xdr:col>
      <xdr:colOff>1704975</xdr:colOff>
      <xdr:row>231</xdr:row>
      <xdr:rowOff>152400</xdr:rowOff>
    </xdr:from>
    <xdr:to>
      <xdr:col>6</xdr:col>
      <xdr:colOff>352425</xdr:colOff>
      <xdr:row>245</xdr:row>
      <xdr:rowOff>142875</xdr:rowOff>
    </xdr:to>
    <xdr:pic>
      <xdr:nvPicPr>
        <xdr:cNvPr id="13" name="Imagen 12">
          <a:extLst>
            <a:ext uri="{FF2B5EF4-FFF2-40B4-BE49-F238E27FC236}">
              <a16:creationId xmlns:a16="http://schemas.microsoft.com/office/drawing/2014/main" id="{F8D3EB58-96E9-B1D5-622E-2DD10AFC15AE}"/>
            </a:ext>
            <a:ext uri="{147F2762-F138-4A5C-976F-8EAC2B608ADB}">
              <a16:predDERef xmlns:a16="http://schemas.microsoft.com/office/drawing/2014/main" pred="{61A2AB80-C0D7-75D1-5736-BE34E66D72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704975" y="44834175"/>
          <a:ext cx="8191500" cy="2657475"/>
        </a:xfrm>
        <a:prstGeom prst="rect">
          <a:avLst/>
        </a:prstGeom>
      </xdr:spPr>
    </xdr:pic>
    <xdr:clientData/>
  </xdr:twoCellAnchor>
  <xdr:twoCellAnchor editAs="oneCell">
    <xdr:from>
      <xdr:col>0</xdr:col>
      <xdr:colOff>1628775</xdr:colOff>
      <xdr:row>215</xdr:row>
      <xdr:rowOff>38100</xdr:rowOff>
    </xdr:from>
    <xdr:to>
      <xdr:col>6</xdr:col>
      <xdr:colOff>190500</xdr:colOff>
      <xdr:row>228</xdr:row>
      <xdr:rowOff>76200</xdr:rowOff>
    </xdr:to>
    <xdr:pic>
      <xdr:nvPicPr>
        <xdr:cNvPr id="14" name="Imagen 13">
          <a:extLst>
            <a:ext uri="{FF2B5EF4-FFF2-40B4-BE49-F238E27FC236}">
              <a16:creationId xmlns:a16="http://schemas.microsoft.com/office/drawing/2014/main" id="{990D970B-6019-F670-ADE8-4DD6A5F3744E}"/>
            </a:ext>
            <a:ext uri="{147F2762-F138-4A5C-976F-8EAC2B608ADB}">
              <a16:predDERef xmlns:a16="http://schemas.microsoft.com/office/drawing/2014/main" pred="{F8D3EB58-96E9-B1D5-622E-2DD10AFC1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628775" y="41671875"/>
          <a:ext cx="8105775" cy="2514600"/>
        </a:xfrm>
        <a:prstGeom prst="rect">
          <a:avLst/>
        </a:prstGeom>
      </xdr:spPr>
    </xdr:pic>
    <xdr:clientData/>
  </xdr:twoCellAnchor>
  <xdr:twoCellAnchor editAs="oneCell">
    <xdr:from>
      <xdr:col>0</xdr:col>
      <xdr:colOff>1733550</xdr:colOff>
      <xdr:row>250</xdr:row>
      <xdr:rowOff>9525</xdr:rowOff>
    </xdr:from>
    <xdr:to>
      <xdr:col>6</xdr:col>
      <xdr:colOff>85725</xdr:colOff>
      <xdr:row>263</xdr:row>
      <xdr:rowOff>9525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02610827-292E-13B7-7D01-2B9048013392}"/>
            </a:ext>
            <a:ext uri="{147F2762-F138-4A5C-976F-8EAC2B608ADB}">
              <a16:predDERef xmlns:a16="http://schemas.microsoft.com/office/drawing/2014/main" pred="{990D970B-6019-F670-ADE8-4DD6A5F374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733550" y="48310800"/>
          <a:ext cx="7896225" cy="2476500"/>
        </a:xfrm>
        <a:prstGeom prst="rect">
          <a:avLst/>
        </a:prstGeom>
      </xdr:spPr>
    </xdr:pic>
    <xdr:clientData/>
  </xdr:twoCellAnchor>
  <xdr:twoCellAnchor editAs="oneCell">
    <xdr:from>
      <xdr:col>0</xdr:col>
      <xdr:colOff>247650</xdr:colOff>
      <xdr:row>267</xdr:row>
      <xdr:rowOff>142875</xdr:rowOff>
    </xdr:from>
    <xdr:to>
      <xdr:col>7</xdr:col>
      <xdr:colOff>76200</xdr:colOff>
      <xdr:row>290</xdr:row>
      <xdr:rowOff>38100</xdr:rowOff>
    </xdr:to>
    <xdr:pic>
      <xdr:nvPicPr>
        <xdr:cNvPr id="16" name="Imagen 15">
          <a:extLst>
            <a:ext uri="{FF2B5EF4-FFF2-40B4-BE49-F238E27FC236}">
              <a16:creationId xmlns:a16="http://schemas.microsoft.com/office/drawing/2014/main" id="{2DC3FD0F-53B9-D28D-93BE-7F0B9D71DB41}"/>
            </a:ext>
            <a:ext uri="{147F2762-F138-4A5C-976F-8EAC2B608ADB}">
              <a16:predDERef xmlns:a16="http://schemas.microsoft.com/office/drawing/2014/main" pred="{02610827-292E-13B7-7D01-2B90480133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247650" y="51682650"/>
          <a:ext cx="9982200" cy="4276725"/>
        </a:xfrm>
        <a:prstGeom prst="rect">
          <a:avLst/>
        </a:prstGeom>
      </xdr:spPr>
    </xdr:pic>
    <xdr:clientData/>
  </xdr:twoCellAnchor>
  <xdr:twoCellAnchor editAs="oneCell">
    <xdr:from>
      <xdr:col>0</xdr:col>
      <xdr:colOff>333375</xdr:colOff>
      <xdr:row>291</xdr:row>
      <xdr:rowOff>0</xdr:rowOff>
    </xdr:from>
    <xdr:to>
      <xdr:col>7</xdr:col>
      <xdr:colOff>85725</xdr:colOff>
      <xdr:row>316</xdr:row>
      <xdr:rowOff>76200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D078AC49-3B1E-94F8-B732-1F00FC2739F4}"/>
            </a:ext>
            <a:ext uri="{147F2762-F138-4A5C-976F-8EAC2B608ADB}">
              <a16:predDERef xmlns:a16="http://schemas.microsoft.com/office/drawing/2014/main" pred="{2DC3FD0F-53B9-D28D-93BE-7F0B9D71DB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333375" y="56111775"/>
          <a:ext cx="9906000" cy="483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6"/>
  <sheetViews>
    <sheetView tabSelected="1" topLeftCell="A263" workbookViewId="0">
      <selection activeCell="K228" sqref="K228"/>
    </sheetView>
  </sheetViews>
  <sheetFormatPr defaultRowHeight="15"/>
  <cols>
    <col min="1" max="1" width="48.7109375" customWidth="1"/>
    <col min="2" max="2" width="33.28515625" customWidth="1"/>
    <col min="6" max="6" width="33.7109375" customWidth="1"/>
  </cols>
  <sheetData>
    <row r="1" spans="1:2">
      <c r="A1" s="1" t="s">
        <v>0</v>
      </c>
    </row>
    <row r="2" spans="1:2">
      <c r="A2" s="2" t="s">
        <v>1</v>
      </c>
    </row>
    <row r="5" spans="1:2" ht="15.75">
      <c r="A5" s="3" t="s">
        <v>2</v>
      </c>
      <c r="B5" s="4" t="s">
        <v>3</v>
      </c>
    </row>
    <row r="6" spans="1:2" ht="15.75">
      <c r="A6" s="5" t="s">
        <v>4</v>
      </c>
      <c r="B6" s="6">
        <f>COUNTA(#REF!)</f>
        <v>1</v>
      </c>
    </row>
    <row r="7" spans="1:2" ht="15.75">
      <c r="A7" s="7" t="s">
        <v>5</v>
      </c>
      <c r="B7" s="8">
        <v>31</v>
      </c>
    </row>
    <row r="8" spans="1:2" ht="15.75">
      <c r="A8" s="5" t="s">
        <v>6</v>
      </c>
      <c r="B8" s="9" t="s">
        <v>7</v>
      </c>
    </row>
    <row r="9" spans="1:2" ht="15.75">
      <c r="A9" s="7" t="s">
        <v>8</v>
      </c>
      <c r="B9" s="13" t="s">
        <v>9</v>
      </c>
    </row>
    <row r="10" spans="1:2" ht="15.75">
      <c r="A10" s="5" t="s">
        <v>10</v>
      </c>
      <c r="B10" s="11">
        <v>5334369</v>
      </c>
    </row>
    <row r="11" spans="1:2" ht="15.75">
      <c r="A11" s="7" t="s">
        <v>11</v>
      </c>
      <c r="B11" s="10">
        <v>888268</v>
      </c>
    </row>
    <row r="12" spans="1:2" ht="15.75">
      <c r="A12" s="5" t="s">
        <v>12</v>
      </c>
      <c r="B12" s="11">
        <v>25599235.16</v>
      </c>
    </row>
    <row r="55" spans="1:15" ht="30" customHeight="1">
      <c r="A55" s="26" t="s">
        <v>13</v>
      </c>
      <c r="B55" s="26"/>
      <c r="C55" s="24" t="s">
        <v>14</v>
      </c>
      <c r="D55" s="25"/>
      <c r="E55" s="25"/>
      <c r="F55" s="25"/>
      <c r="I55" s="25" t="s">
        <v>15</v>
      </c>
      <c r="J55" s="25"/>
      <c r="K55" s="25"/>
      <c r="L55" s="25"/>
      <c r="M55" s="25"/>
      <c r="N55" s="25"/>
      <c r="O55" s="25"/>
    </row>
    <row r="81" spans="1:6" ht="23.25">
      <c r="A81" s="27" t="s">
        <v>16</v>
      </c>
      <c r="B81" s="27"/>
      <c r="C81" s="27"/>
      <c r="D81" s="27"/>
      <c r="E81" s="27"/>
    </row>
    <row r="82" spans="1:6" ht="8.25" customHeight="1">
      <c r="A82" s="15"/>
      <c r="B82" s="15"/>
      <c r="C82" s="15"/>
      <c r="D82" s="15"/>
      <c r="E82" s="15"/>
      <c r="F82" s="15"/>
    </row>
    <row r="83" spans="1:6" ht="31.5" customHeight="1">
      <c r="A83" s="22" t="s">
        <v>17</v>
      </c>
      <c r="B83" s="22"/>
      <c r="C83" s="22"/>
      <c r="D83" s="22"/>
      <c r="E83" s="22"/>
      <c r="F83" s="22"/>
    </row>
    <row r="84" spans="1:6" ht="15.75">
      <c r="A84" s="14"/>
      <c r="B84" s="14"/>
      <c r="C84" s="14"/>
      <c r="D84" s="14"/>
      <c r="E84" s="14"/>
      <c r="F84" s="14"/>
    </row>
    <row r="85" spans="1:6" ht="15.75">
      <c r="A85" s="21" t="s">
        <v>18</v>
      </c>
      <c r="B85" s="21"/>
      <c r="C85" s="21"/>
      <c r="D85" s="21"/>
      <c r="E85" s="21"/>
      <c r="F85" s="21"/>
    </row>
    <row r="86" spans="1:6" ht="15.75">
      <c r="A86" s="14"/>
      <c r="B86" s="14"/>
      <c r="C86" s="14"/>
      <c r="D86" s="14"/>
      <c r="E86" s="14"/>
      <c r="F86" s="14"/>
    </row>
    <row r="87" spans="1:6" ht="16.5" customHeight="1">
      <c r="A87" s="22" t="s">
        <v>19</v>
      </c>
      <c r="B87" s="22"/>
      <c r="C87" s="22"/>
      <c r="D87" s="22"/>
      <c r="E87" s="22"/>
      <c r="F87" s="22"/>
    </row>
    <row r="88" spans="1:6">
      <c r="A88" s="15"/>
      <c r="B88" s="15"/>
      <c r="C88" s="15"/>
      <c r="D88" s="15"/>
      <c r="E88" s="15"/>
      <c r="F88" s="15"/>
    </row>
    <row r="89" spans="1:6" ht="21">
      <c r="A89" s="23" t="s">
        <v>20</v>
      </c>
      <c r="B89" s="23"/>
      <c r="C89" s="23"/>
      <c r="D89" s="23"/>
      <c r="E89" s="23"/>
      <c r="F89" s="12"/>
    </row>
    <row r="91" spans="1:6" ht="15.75">
      <c r="A91" s="21" t="s">
        <v>21</v>
      </c>
      <c r="B91" s="21"/>
      <c r="C91" s="21"/>
      <c r="D91" s="21"/>
      <c r="E91" s="21"/>
      <c r="F91" s="21"/>
    </row>
    <row r="92" spans="1:6" ht="15.75">
      <c r="A92" s="17"/>
      <c r="B92" s="17"/>
      <c r="C92" s="17"/>
      <c r="D92" s="17"/>
      <c r="E92" s="17"/>
      <c r="F92" s="17"/>
    </row>
    <row r="93" spans="1:6" ht="15.75">
      <c r="A93" s="21" t="s">
        <v>22</v>
      </c>
      <c r="B93" s="21"/>
      <c r="C93" s="21"/>
      <c r="D93" s="21"/>
      <c r="E93" s="21"/>
      <c r="F93" s="21"/>
    </row>
    <row r="94" spans="1:6" ht="15.75">
      <c r="A94" s="17"/>
      <c r="B94" s="17"/>
      <c r="C94" s="17"/>
      <c r="D94" s="17"/>
      <c r="E94" s="17"/>
      <c r="F94" s="17"/>
    </row>
    <row r="95" spans="1:6" ht="15.75">
      <c r="A95" s="21" t="s">
        <v>23</v>
      </c>
      <c r="B95" s="21"/>
      <c r="C95" s="21"/>
      <c r="D95" s="21"/>
      <c r="E95" s="21"/>
      <c r="F95" s="21"/>
    </row>
    <row r="96" spans="1:6" ht="15.75">
      <c r="A96" s="14"/>
      <c r="B96" s="14"/>
      <c r="C96" s="14"/>
      <c r="D96" s="14"/>
      <c r="E96" s="14"/>
      <c r="F96" s="14"/>
    </row>
    <row r="98" spans="1:6">
      <c r="A98" s="20" t="s">
        <v>24</v>
      </c>
      <c r="B98" s="20"/>
      <c r="C98" s="20"/>
      <c r="D98" s="20"/>
      <c r="E98" s="20"/>
      <c r="F98" s="20"/>
    </row>
    <row r="101" spans="1:6">
      <c r="A101" s="18">
        <v>45870</v>
      </c>
      <c r="B101" s="19"/>
      <c r="C101" s="19"/>
      <c r="D101" s="19"/>
      <c r="E101" s="19"/>
      <c r="F101" s="19"/>
    </row>
    <row r="119" spans="1:6">
      <c r="A119" s="18">
        <v>45901</v>
      </c>
      <c r="B119" s="19"/>
      <c r="C119" s="19"/>
      <c r="D119" s="19"/>
      <c r="E119" s="19"/>
      <c r="F119" s="19"/>
    </row>
    <row r="134" spans="1:6">
      <c r="A134" s="18">
        <v>45931</v>
      </c>
      <c r="B134" s="19"/>
      <c r="C134" s="19"/>
      <c r="D134" s="19"/>
      <c r="E134" s="19"/>
      <c r="F134" s="19"/>
    </row>
    <row r="150" spans="1:6">
      <c r="A150" s="18">
        <v>45962</v>
      </c>
      <c r="B150" s="18"/>
      <c r="C150" s="18"/>
      <c r="D150" s="18"/>
      <c r="E150" s="18"/>
      <c r="F150" s="18"/>
    </row>
    <row r="165" spans="1:6">
      <c r="A165" s="18">
        <v>45992</v>
      </c>
      <c r="B165" s="18"/>
      <c r="C165" s="18"/>
      <c r="D165" s="18"/>
      <c r="E165" s="18"/>
      <c r="F165" s="18"/>
    </row>
    <row r="181" spans="1:6">
      <c r="A181" s="18">
        <v>46023</v>
      </c>
      <c r="B181" s="19"/>
      <c r="C181" s="19"/>
      <c r="D181" s="19"/>
      <c r="E181" s="19"/>
      <c r="F181" s="19"/>
    </row>
    <row r="199" spans="1:6">
      <c r="A199" s="18">
        <v>46054</v>
      </c>
      <c r="B199" s="19"/>
      <c r="C199" s="19"/>
      <c r="D199" s="19"/>
      <c r="E199" s="19"/>
      <c r="F199" s="19"/>
    </row>
    <row r="214" spans="1:6">
      <c r="A214" s="18">
        <v>46082</v>
      </c>
      <c r="B214" s="19"/>
      <c r="C214" s="19"/>
      <c r="D214" s="19"/>
      <c r="E214" s="19"/>
      <c r="F214" s="19"/>
    </row>
    <row r="216" spans="1:6">
      <c r="A216" s="16"/>
    </row>
    <row r="231" spans="1:6">
      <c r="A231" s="18">
        <v>46113</v>
      </c>
      <c r="B231" s="18"/>
      <c r="C231" s="18"/>
      <c r="D231" s="18"/>
      <c r="E231" s="18"/>
      <c r="F231" s="18"/>
    </row>
    <row r="249" spans="1:6">
      <c r="A249" s="18">
        <v>46143</v>
      </c>
      <c r="B249" s="19"/>
      <c r="C249" s="19"/>
      <c r="D249" s="19"/>
      <c r="E249" s="19"/>
      <c r="F249" s="19"/>
    </row>
    <row r="266" spans="1:8">
      <c r="A266" s="20" t="s">
        <v>25</v>
      </c>
      <c r="B266" s="20"/>
      <c r="C266" s="20"/>
      <c r="D266" s="20"/>
      <c r="E266" s="20"/>
      <c r="F266" s="20"/>
      <c r="G266" s="20"/>
      <c r="H266" s="20"/>
    </row>
  </sheetData>
  <mergeCells count="23">
    <mergeCell ref="C55:F55"/>
    <mergeCell ref="A55:B55"/>
    <mergeCell ref="I55:O55"/>
    <mergeCell ref="A81:E81"/>
    <mergeCell ref="A83:F83"/>
    <mergeCell ref="A93:F93"/>
    <mergeCell ref="A95:F95"/>
    <mergeCell ref="A85:F85"/>
    <mergeCell ref="A87:F87"/>
    <mergeCell ref="A89:E89"/>
    <mergeCell ref="A91:F91"/>
    <mergeCell ref="A98:F98"/>
    <mergeCell ref="A101:F101"/>
    <mergeCell ref="A119:F119"/>
    <mergeCell ref="A134:F134"/>
    <mergeCell ref="A150:F150"/>
    <mergeCell ref="A249:F249"/>
    <mergeCell ref="A266:H266"/>
    <mergeCell ref="A165:F165"/>
    <mergeCell ref="A181:F181"/>
    <mergeCell ref="A199:F199"/>
    <mergeCell ref="A214:F214"/>
    <mergeCell ref="A231:F23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2026-05-18T04:34:05Z</dcterms:created>
  <dcterms:modified xsi:type="dcterms:W3CDTF">2026-05-28T20:39:36Z</dcterms:modified>
  <cp:category/>
  <cp:contentStatus/>
</cp:coreProperties>
</file>